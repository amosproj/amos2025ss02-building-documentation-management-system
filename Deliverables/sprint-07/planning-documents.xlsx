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sheetId="11" r:id="rId13"/>
    <sheet state="visible" name="Final Project Release plan" sheetId="12" r:id="rId14"/>
    <sheet state="visible" name="Final Project Burn-down"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<sst xmlns="http://schemas.openxmlformats.org/spreadsheetml/2006/main" count="454" uniqueCount="345">
  <si>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</si>
  <si>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</si>
  <si>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</si>
  <si>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</si>
  <si>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</si>
  <si>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</si>
  <si>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</si>
  <si>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</si>
  <si>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</si>
  <si>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</si>
  <si>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</si>
  <si>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</si>
  <si>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</si>
  <si>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</si>
  <si>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</si>
  <si>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</si>
  <si>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</si>
  <si>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</si>
  <si>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</si>
  <si>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</si>
  <si>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</si>
  <si>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</si>
  <si>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</si>
  <si>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</si>
  <si>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</si>
  <si>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</si>
  <si>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</si>
  <si>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</si>
  <si>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</si>
  <si>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</si>
  <si>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</si>
  <si>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</si>
  <si>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</si>
  <si>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</si>
  <si>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</si>
  <si>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</si>
  <si>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</si>
  <si>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</si>
  <si>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</si>
  <si>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</si>
  <si>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</si>
  <si>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</si>
  <si>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</si>
  <si>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</si>
  <si>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</si>
  <si>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</si>
  <si>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</si>
  <si>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</si>
  <si>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</si>
  <si>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</si>
  <si>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</si>
  <si>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</si>
  <si>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</si>
  <si>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</si>
  <si>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</si>
  <si>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</si>
  <si>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</si>
  <si>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</si>
  <si>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</si>
  <si>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</si>
  <si>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</si>
  <si>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</si>
  <si>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</si>
  <si>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</si>
  <si>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</si>
  <si>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</si>
  <si>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</si>
  <si>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</si>
  <si>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</si>
  <si>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</si>
  <si>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</si>
  <si>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</si>
  <si>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</si>
  <si>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</si>
  <si>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</si>
  <si>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</si>
  <si>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</si>
  <si>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</si>
  <si>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</si>
  <si>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</si>
  <si>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</si>
  <si>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</si>
  <si>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</si>
  <si>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</si>
  <si>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</si>
  <si>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</si>
  <si>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</si>
  <si>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</si>
  <si>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</si>
  <si>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</si>
  <si>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</si>
  <si>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</si>
  <si>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</si>
  <si>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</si>
  <si>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</si>
  <si>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</si>
  <si>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</si>
  <si>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</si>
  <si>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</si>
  <si>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 xml:space="preserve"> 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</si>
  <si>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</si>
  <si>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</si>
  <si>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</si>
  <si>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</si>
  <si>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</si>
  <si>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</si>
  <si>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</si>
  <si>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</si>
  <si>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</si>
  <si>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</si>
  <si>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</si>
  <si>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</si>
  <si>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</si>
  <si>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</si>
  <si>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</si>
  <si>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</si>
  <si>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</si>
  <si>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</si>
  <si>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</si>
  <si>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</si>
  <si>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</si>
  <si>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</si>
  <si>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</si>
  <si>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</si>
  <si>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</si>
  <si>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</si>
  <si>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</si>
  <si>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</si>
  <si>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</si>
  <si>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</si>
  <si>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</si>
  <si>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</si>
  <si>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</si>
  <si>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</si>
  <si>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</si>
  <si>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</si>
  <si>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</si>
  <si>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</si>
  <si>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</si>
  <si>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</si>
  <si>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</si>
  <si>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</si>
  <si>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</si>
  <si>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</si>
  <si>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</si>
  <si>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</si>
  <si>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</si>
  <si>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</si>
  <si>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</si>
  <si>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</si>
  <si>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</si>
  <si>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</si>
  <si>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</si>
  <si>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</si>
  <si>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</si>
  <si>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</si>
  <si>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</si>
  <si>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</si>
  <si>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Key Information</t>
  </si>
  <si>
    <t>Each Document Category has a set of Key Information that are important and should always be automatically extracted on upload</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</si>
  <si>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</si>
  <si>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</si>
  <si>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</si>
  <si>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</si>
  <si>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</si>
  <si>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</si>
  <si>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</si>
  <si>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</si>
  <si>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</si>
  <si>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Initiate automatic Building detection and general code refactorings</t>
  </si>
  <si>
    <t>Classify Document automatically into a Building Document Category</t>
  </si>
  <si>
    <t>Enhance frontend based on workshop and Collect list of relevant information per document category</t>
  </si>
  <si>
    <t>Auto-Extract and display information from Document based on Document Category</t>
  </si>
  <si>
    <t>AI chatbot can answer questions based on database information</t>
  </si>
  <si>
    <t>Prepare Demo Day and Project Hand-Over</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</si>
  <si>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</si>
  <si>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</si>
  <si>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</si>
  <si>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</si>
  <si>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</si>
  <si>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</si>
  <si>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</si>
  <si>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</si>
  <si>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</si>
  <si>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</si>
  <si>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</si>
  <si>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</si>
  <si>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</si>
  <si>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</si>
  <si>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</si>
  <si>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</si>
  <si>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</si>
  <si>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</si>
  <si>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</si>
  <si>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</si>
  <si>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</si>
  <si>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</si>
  <si>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</si>
  <si>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</si>
  <si>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</si>
  <si>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</si>
  <si>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</si>
  <si>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</si>
  <si>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</si>
  <si>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</si>
  <si>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</si>
  <si>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</si>
  <si>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</si>
  <si>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</si>
  <si>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</si>
  <si>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</si>
  <si>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</si>
  <si>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</si>
  <si>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</si>
  <si>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</si>
  <si>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</si>
  <si>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</si>
  <si>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</si>
  <si>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</si>
  <si>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Persist Building Data in DB</t>
  </si>
  <si>
    <t>Query Ollama via Backend</t>
  </si>
  <si>
    <t>Agree on DoD</t>
  </si>
  <si>
    <t>Upload and Store Document via Frontend</t>
  </si>
  <si>
    <t>Document View Page displays Actual Documents</t>
  </si>
  <si>
    <t>Set Up Apache Tika</t>
  </si>
  <si>
    <t>Add Organization Entity to DB</t>
  </si>
  <si>
    <t>Persist Data Using Docker Volumes</t>
  </si>
  <si>
    <t>Implement Angular Frontend based on Mock Up</t>
  </si>
  <si>
    <t>Connect Frontend to LLM</t>
  </si>
  <si>
    <t>Update Bill of Materials</t>
  </si>
  <si>
    <t>Adopt Feature Branch Workflow and Clean Up Branches</t>
  </si>
  <si>
    <t>Support OpenAPI Client Generation</t>
  </si>
  <si>
    <t>Replace Default Web Services with Angular Frontend</t>
  </si>
  <si>
    <t>Display Stored Documents in Explorer</t>
  </si>
  <si>
    <t>Gather sample files of building documents</t>
  </si>
  <si>
    <t>Display JPG/PNG Files in Frontend</t>
  </si>
  <si>
    <t>Create a Building Form</t>
  </si>
  <si>
    <t>Implement Backend Logging</t>
  </si>
  <si>
    <t>Implement User Authentication in Backend</t>
  </si>
  <si>
    <t>Refactor: Enforce OpenAPI SDK Usage</t>
  </si>
  <si>
    <t>Seed Database with Organization and User</t>
  </si>
  <si>
    <t>Apache Tika Integration during Upload</t>
  </si>
  <si>
    <t>Bug in Production: CRUD Endpoints for Documents</t>
  </si>
  <si>
    <t>Bug: Backend Container not working</t>
  </si>
  <si>
    <t>Enforce HTTPS on Production Server</t>
  </si>
  <si>
    <t>Implement OCR using Tika</t>
  </si>
  <si>
    <t>Production Bug: AI Assistant Not Working</t>
  </si>
  <si>
    <t>Detect a Building from a Document</t>
  </si>
  <si>
    <t>Popup Window on Document Upload</t>
  </si>
  <si>
    <t>Refactor Building Entity</t>
  </si>
  <si>
    <t>Refactor Repository Structure and Cleanup</t>
  </si>
  <si>
    <t>Implement Session-Based Authentication for Frontend</t>
  </si>
  <si>
    <t>CRUD Endpoints for Document Categories</t>
  </si>
  <si>
    <t>Auto-Detect Document Category from Uploaded Document</t>
  </si>
  <si>
    <t>Enhance Frontend Design</t>
  </si>
  <si>
    <t>Remove FastAPI from Ollama container</t>
  </si>
  <si>
    <t>Remove Default weatherforecast Endpoint</t>
  </si>
  <si>
    <t>Display auto-detected category with ability to override in UI</t>
  </si>
  <si>
    <t>Frontend: Ability to Move Documents to other Buildings</t>
  </si>
  <si>
    <t>Adjust DB Scheme to Store Key Informations (depending on Category)</t>
  </si>
  <si>
    <t>Enhance Frontend Page Layout based on Team Design</t>
  </si>
  <si>
    <t>Limit Chatbots Scope with Prompt Engineering</t>
  </si>
  <si>
    <t>Enable Storing of Extracted Document Chunks</t>
  </si>
  <si>
    <t>Implement Chunking of Document Contents</t>
  </si>
  <si>
    <t>Create Prompts to Extract Key Information from Documents</t>
  </si>
  <si>
    <t>Display Key Information on File View Page</t>
  </si>
  <si>
    <t>Auto-Extract Key Information on Document Upload</t>
  </si>
  <si>
    <t>Enhance Documentation Wiki</t>
  </si>
  <si>
    <t>Update README files</t>
  </si>
  <si>
    <t>Semantic Search using Embeddings</t>
  </si>
  <si>
    <t>Frontend: Add  inline links to documents mentioned by Chatbot</t>
  </si>
  <si>
    <t>Confirm multi-tenancy is respected in all UI/queries</t>
  </si>
  <si>
    <t>Fine Tune Frontend</t>
  </si>
  <si>
    <t>Fix Remaining Bugs</t>
  </si>
  <si>
    <t>Prepare for Final Presentation</t>
  </si>
  <si>
    <t>Prepare and reset Production Environment</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</si>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</sst>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2" fontId="8" numFmtId="0" xfId="0" applyAlignment="1" applyFont="1">
      <alignment horizontal="right"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2" numFmtId="0" xfId="0" applyAlignment="1" applyFont="1">
      <alignment readingOrder="0" shrinkToFit="0" wrapText="0"/>
    </xf>
    <xf borderId="0" fillId="2" fontId="7" numFmtId="0" xfId="0" applyAlignment="1" applyFont="1">
      <alignment horizontal="left" shrinkToFit="0" vertical="bottom" wrapText="0"/>
    </xf>
    <xf borderId="0" fillId="2" fontId="7" numFmtId="0" xfId="0" applyAlignment="1" applyFont="1">
      <alignment horizontal="left" readingOrder="0" shrinkToFit="0" vertical="bottom" wrapText="1"/>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8" fontId="8" numFmtId="0" xfId="0" applyAlignment="1" applyFill="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8" fontId="8" numFmtId="0" xfId="0" applyAlignment="1" applyFont="1">
      <alignment horizontal="center" shrinkToFit="0" vertical="center" wrapText="1"/>
    </xf>
    <xf borderId="0" fillId="8"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8.xml"/><Relationship Id="rId13" Type="http://schemas.openxmlformats.org/officeDocument/2006/relationships/chartsheet" Target="chartsheets/sheet2.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chartsheet" Target="chartsheets/sheet3.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3.xml"/><Relationship Id="rId19" Type="http://schemas.openxmlformats.org/officeDocument/2006/relationships/worksheet" Target="worksheets/sheet14.xml"/><Relationship Id="rId6" Type="http://schemas.openxmlformats.org/officeDocument/2006/relationships/worksheet" Target="worksheets/sheet4.xml"/><Relationship Id="rId18"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69948945"/>
        <c:axId val="53985473"/>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69948945"/>
        <c:axId val="53985473"/>
      </c:lineChart>
      <c:catAx>
        <c:axId val="6994894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53985473"/>
      </c:catAx>
      <c:valAx>
        <c:axId val="539854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994894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42889568"/>
        <c:axId val="600439535"/>
      </c:barChart>
      <c:catAx>
        <c:axId val="4288956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00439535"/>
      </c:catAx>
      <c:valAx>
        <c:axId val="6004395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2889568"/>
        <c:majorUnit val="20.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'Final Project Release plan'!$E$9:$E$15</c:f>
              <c:numCache/>
            </c:numRef>
          </c:val>
        </c:ser>
        <c:ser>
          <c:idx val="1"/>
          <c:order val="1"/>
          <c:tx>
            <c:v>Real burn-down</c:v>
          </c:tx>
          <c:spPr>
            <a:solidFill>
              <a:srgbClr val="DB4437"/>
            </a:solidFill>
            <a:ln cmpd="sng">
              <a:solidFill>
                <a:srgbClr val="000000"/>
              </a:solidFill>
            </a:ln>
          </c:spPr>
          <c:val>
            <c:numRef>
              <c:f>'Final Project Release plan'!$E$9:$E$15</c:f>
              <c:numCache/>
            </c:numRef>
          </c:val>
        </c:ser>
        <c:ser>
          <c:idx val="2"/>
          <c:order val="2"/>
          <c:val>
            <c:numRef>
              <c:f>'Final Project Release plan'!$G$9:$G$15</c:f>
              <c:numCache/>
            </c:numRef>
          </c:val>
        </c:ser>
        <c:ser>
          <c:idx val="3"/>
          <c:order val="3"/>
          <c:val>
            <c:numRef>
              <c:f>'Final Project Release plan'!$G$9:$G$15</c:f>
              <c:numCache/>
            </c:numRef>
          </c:val>
        </c:ser>
        <c:axId val="1034393971"/>
        <c:axId val="639596444"/>
      </c:barChart>
      <c:catAx>
        <c:axId val="103439397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39596444"/>
      </c:catAx>
      <c:valAx>
        <c:axId val="6395964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34393971"/>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5.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5" t="s">
        <v>158</v>
      </c>
      <c r="B13" s="5" t="s">
        <v>159</v>
      </c>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160</v>
      </c>
      <c r="B1" s="3" t="s">
        <v>161</v>
      </c>
    </row>
    <row r="2">
      <c r="A2" s="41">
        <v>1.0</v>
      </c>
      <c r="B2" s="5" t="s">
        <v>162</v>
      </c>
    </row>
    <row r="3">
      <c r="A3" s="41">
        <f t="shared" ref="A3:A16" si="1">A2+1</f>
        <v>2</v>
      </c>
      <c r="B3" s="5" t="s">
        <v>163</v>
      </c>
    </row>
    <row r="4">
      <c r="A4" s="41">
        <f t="shared" si="1"/>
        <v>3</v>
      </c>
      <c r="B4" s="5" t="s">
        <v>164</v>
      </c>
    </row>
    <row r="5">
      <c r="A5" s="41">
        <f t="shared" si="1"/>
        <v>4</v>
      </c>
      <c r="B5" s="9" t="s">
        <v>165</v>
      </c>
    </row>
    <row r="6">
      <c r="A6" s="41">
        <f t="shared" si="1"/>
        <v>5</v>
      </c>
      <c r="B6" s="5" t="s">
        <v>166</v>
      </c>
    </row>
    <row r="7">
      <c r="A7" s="41">
        <f t="shared" si="1"/>
        <v>6</v>
      </c>
      <c r="B7" s="5" t="s">
        <v>167</v>
      </c>
    </row>
    <row r="8">
      <c r="A8" s="41">
        <f t="shared" si="1"/>
        <v>7</v>
      </c>
      <c r="B8" s="5" t="s">
        <v>168</v>
      </c>
    </row>
    <row r="9">
      <c r="A9" s="41">
        <f t="shared" si="1"/>
        <v>8</v>
      </c>
      <c r="B9" s="5" t="s">
        <v>169</v>
      </c>
    </row>
    <row r="10">
      <c r="A10" s="41">
        <f t="shared" si="1"/>
        <v>9</v>
      </c>
      <c r="B10" s="5" t="s">
        <v>170</v>
      </c>
    </row>
    <row r="11">
      <c r="A11" s="41">
        <f t="shared" si="1"/>
        <v>10</v>
      </c>
      <c r="B11" s="5" t="s">
        <v>171</v>
      </c>
    </row>
    <row r="12">
      <c r="A12" s="41">
        <f t="shared" si="1"/>
        <v>11</v>
      </c>
      <c r="B12" s="5" t="s">
        <v>172</v>
      </c>
    </row>
    <row r="13">
      <c r="A13" s="41">
        <f t="shared" si="1"/>
        <v>12</v>
      </c>
      <c r="B13" s="5" t="s">
        <v>173</v>
      </c>
    </row>
    <row r="14">
      <c r="A14" s="41">
        <f t="shared" si="1"/>
        <v>13</v>
      </c>
      <c r="B14" s="5" t="s">
        <v>174</v>
      </c>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6.38"/>
  </cols>
  <sheetData>
    <row r="1">
      <c r="A1" s="40" t="s">
        <v>160</v>
      </c>
      <c r="B1" s="3" t="s">
        <v>175</v>
      </c>
      <c r="C1" s="3" t="s">
        <v>176</v>
      </c>
    </row>
    <row r="2">
      <c r="A2" s="41">
        <v>1.0</v>
      </c>
      <c r="B2" s="5">
        <f>'Mid-Project Release plan'!F9</f>
        <v>3</v>
      </c>
      <c r="C2" s="36">
        <f>AVERAGE(B2:B16)</f>
        <v>21.57142857</v>
      </c>
    </row>
    <row r="3">
      <c r="A3" s="41">
        <f t="shared" ref="A3:A16" si="1">A2+1</f>
        <v>2</v>
      </c>
      <c r="B3" s="5">
        <f>'Mid-Project Release plan'!F10</f>
        <v>15</v>
      </c>
      <c r="C3" s="2">
        <f>$C2</f>
        <v>21.57142857</v>
      </c>
    </row>
    <row r="4">
      <c r="A4" s="41">
        <f t="shared" si="1"/>
        <v>3</v>
      </c>
      <c r="B4" s="5">
        <f>'Mid-Project Release plan'!F11</f>
        <v>24</v>
      </c>
      <c r="C4" s="2">
        <f>$C2</f>
        <v>21.57142857</v>
      </c>
    </row>
    <row r="5">
      <c r="A5" s="41">
        <f t="shared" si="1"/>
        <v>4</v>
      </c>
      <c r="B5" s="5">
        <f>'Mid-Project Release plan'!F12</f>
        <v>51</v>
      </c>
      <c r="C5" s="2">
        <f>$C2</f>
        <v>21.57142857</v>
      </c>
    </row>
    <row r="6">
      <c r="A6" s="41">
        <f t="shared" si="1"/>
        <v>5</v>
      </c>
      <c r="B6" s="5">
        <f>'Mid-Project Release plan'!F13</f>
        <v>18</v>
      </c>
      <c r="C6" s="2">
        <f>$C2</f>
        <v>21.57142857</v>
      </c>
    </row>
    <row r="7">
      <c r="A7" s="41">
        <f t="shared" si="1"/>
        <v>6</v>
      </c>
      <c r="B7" s="5">
        <f>'Mid-Project Release plan'!F14</f>
        <v>40</v>
      </c>
      <c r="C7" s="2">
        <f>$C2</f>
        <v>21.57142857</v>
      </c>
    </row>
    <row r="8">
      <c r="A8" s="41">
        <f t="shared" si="1"/>
        <v>7</v>
      </c>
      <c r="B8" s="5">
        <f>'Final Project Release plan'!F9</f>
        <v>0</v>
      </c>
      <c r="C8" s="2">
        <f>$C2</f>
        <v>21.57142857</v>
      </c>
    </row>
    <row r="9">
      <c r="A9" s="41">
        <f t="shared" si="1"/>
        <v>8</v>
      </c>
      <c r="B9" s="5"/>
      <c r="C9" s="43">
        <f>$C2</f>
        <v>21.57142857</v>
      </c>
    </row>
    <row r="10">
      <c r="A10" s="41">
        <f t="shared" si="1"/>
        <v>9</v>
      </c>
      <c r="B10" s="5"/>
      <c r="C10" s="44">
        <f>$C2</f>
        <v>21.57142857</v>
      </c>
    </row>
    <row r="11">
      <c r="A11" s="41">
        <f t="shared" si="1"/>
        <v>10</v>
      </c>
      <c r="B11" s="5"/>
      <c r="C11" s="43">
        <f>$C2</f>
        <v>21.57142857</v>
      </c>
    </row>
    <row r="12">
      <c r="A12" s="41">
        <f t="shared" si="1"/>
        <v>11</v>
      </c>
      <c r="B12" s="5"/>
      <c r="C12" s="43">
        <f>$C2</f>
        <v>21.57142857</v>
      </c>
    </row>
    <row r="13">
      <c r="A13" s="41">
        <f t="shared" si="1"/>
        <v>12</v>
      </c>
      <c r="B13" s="5"/>
      <c r="C13" s="44">
        <f>$C2</f>
        <v>21.57142857</v>
      </c>
    </row>
    <row r="14">
      <c r="A14" s="41">
        <f t="shared" si="1"/>
        <v>13</v>
      </c>
      <c r="B14" s="5"/>
      <c r="C14" s="43">
        <f>$C2</f>
        <v>21.57142857</v>
      </c>
    </row>
    <row r="15">
      <c r="A15" s="41">
        <f t="shared" si="1"/>
        <v>14</v>
      </c>
      <c r="B15" s="2"/>
      <c r="C15" s="43">
        <f>$C2</f>
        <v>21.57142857</v>
      </c>
    </row>
    <row r="16">
      <c r="A16" s="41">
        <f t="shared" si="1"/>
        <v>15</v>
      </c>
      <c r="B16" s="2"/>
      <c r="C16" s="44">
        <f>$C2</f>
        <v>21.57142857</v>
      </c>
    </row>
    <row r="17">
      <c r="A17" s="41"/>
      <c r="B17" s="2"/>
      <c r="C17" s="43"/>
    </row>
    <row r="18">
      <c r="A18" s="41"/>
    </row>
    <row r="19">
      <c r="A19" s="40"/>
      <c r="C19" s="45"/>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SUM(D8:D15)</f>
        <v>125</v>
      </c>
      <c r="E5" s="58">
        <f>D5</f>
        <v>125</v>
      </c>
      <c r="F5" s="31">
        <f>SUM(F8:F15)</f>
        <v>151</v>
      </c>
      <c r="G5" s="31">
        <f>F5</f>
        <v>151</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3">
        <v>1.0</v>
      </c>
      <c r="B9" s="64" t="str">
        <f>'Sprint Goals'!B2</f>
        <v>Get to know the team and understand the stakeholder's requirements</v>
      </c>
      <c r="C9" s="52"/>
      <c r="D9" s="65">
        <f>sum(D18:D22)</f>
        <v>3</v>
      </c>
      <c r="E9" s="65">
        <f>$D$5</f>
        <v>125</v>
      </c>
      <c r="F9" s="65">
        <f>sum(F18:F22)</f>
        <v>3</v>
      </c>
      <c r="G9" s="65">
        <f>$D$5</f>
        <v>125</v>
      </c>
    </row>
    <row r="10">
      <c r="A10" s="50">
        <f t="shared" ref="A10:A11" si="1">A9+1</f>
        <v>2</v>
      </c>
      <c r="B10" s="64" t="str">
        <f>'Sprint Goals'!B3</f>
        <v>Start scaffolding basic backend and frontend infrastructure and research domain-specific knowledge</v>
      </c>
      <c r="C10" s="52"/>
      <c r="D10" s="65">
        <f>sum(D23:D30)</f>
        <v>16</v>
      </c>
      <c r="E10" s="65">
        <f t="shared" ref="E10:E14" si="2">E9-D9</f>
        <v>122</v>
      </c>
      <c r="F10" s="65">
        <f>sum(F23:F30)</f>
        <v>15</v>
      </c>
      <c r="G10" s="65">
        <f t="shared" ref="G10:G14" si="3">G9-F9</f>
        <v>122</v>
      </c>
    </row>
    <row r="11">
      <c r="A11" s="63">
        <f t="shared" si="1"/>
        <v>3</v>
      </c>
      <c r="B11" s="64" t="str">
        <f>'Sprint Goals'!B4</f>
        <v>Set up unified development and production environment through containerization and tooling</v>
      </c>
      <c r="C11" s="52"/>
      <c r="D11" s="65">
        <f>sum(D32:D42)</f>
        <v>16</v>
      </c>
      <c r="E11" s="65">
        <f t="shared" si="2"/>
        <v>106</v>
      </c>
      <c r="F11" s="65">
        <f>sum(F32:F42)</f>
        <v>24</v>
      </c>
      <c r="G11" s="65">
        <f t="shared" si="3"/>
        <v>107</v>
      </c>
    </row>
    <row r="12">
      <c r="A12" s="66">
        <v>4.0</v>
      </c>
      <c r="B12" s="64" t="str">
        <f>'Sprint Goals'!B5</f>
        <v>Fix the issue of sensitive documents in the repository and enhance backend with endpoints and database connection</v>
      </c>
      <c r="C12" s="52"/>
      <c r="D12" s="52">
        <f>SUM(D44:D53)</f>
        <v>43</v>
      </c>
      <c r="E12" s="65">
        <f t="shared" si="2"/>
        <v>90</v>
      </c>
      <c r="F12" s="52">
        <f>SUM(F44:F53)</f>
        <v>51</v>
      </c>
      <c r="G12" s="65">
        <f t="shared" si="3"/>
        <v>83</v>
      </c>
    </row>
    <row r="13">
      <c r="A13" s="66">
        <v>5.0</v>
      </c>
      <c r="B13" s="64" t="str">
        <f>'Sprint Goals'!B6</f>
        <v>Extend and prepare components so they can be easily connected</v>
      </c>
      <c r="C13" s="52"/>
      <c r="D13" s="52">
        <f>SUM(D54:D58)</f>
        <v>15</v>
      </c>
      <c r="E13" s="65">
        <f t="shared" si="2"/>
        <v>47</v>
      </c>
      <c r="F13" s="52">
        <f>SUM(F54:F58)</f>
        <v>18</v>
      </c>
      <c r="G13" s="65">
        <f t="shared" si="3"/>
        <v>32</v>
      </c>
    </row>
    <row r="14">
      <c r="A14" s="66">
        <v>6.0</v>
      </c>
      <c r="B14" s="64" t="str">
        <f>'Sprint Goals'!B7</f>
        <v>Prepare mid-project release by binding frontend and backend together and finalizing container orchestration</v>
      </c>
      <c r="C14" s="52"/>
      <c r="D14" s="52">
        <f>SUM(D61:D77)</f>
        <v>32</v>
      </c>
      <c r="E14" s="65">
        <f t="shared" si="2"/>
        <v>32</v>
      </c>
      <c r="F14" s="52">
        <f>SUM(F61:F77)</f>
        <v>40</v>
      </c>
      <c r="G14" s="65">
        <f t="shared" si="3"/>
        <v>14</v>
      </c>
    </row>
    <row r="15">
      <c r="A15" s="63"/>
      <c r="B15" s="67"/>
      <c r="C15" s="52"/>
      <c r="D15" s="52"/>
      <c r="E15" s="52"/>
      <c r="F15" s="52"/>
      <c r="G15" s="52"/>
    </row>
    <row r="16">
      <c r="A16" s="68" t="s">
        <v>189</v>
      </c>
      <c r="B16" s="69"/>
      <c r="C16" s="70"/>
      <c r="D16" s="70"/>
      <c r="E16" s="70"/>
      <c r="F16" s="70"/>
      <c r="G16" s="70"/>
    </row>
    <row r="17">
      <c r="A17" s="63"/>
      <c r="B17" s="67"/>
      <c r="C17" s="52"/>
      <c r="D17" s="52"/>
      <c r="E17" s="52"/>
      <c r="F17" s="52"/>
      <c r="G17" s="52"/>
    </row>
    <row r="18">
      <c r="A18" s="71">
        <f t="shared" ref="A18:B18" si="4">A9</f>
        <v>1</v>
      </c>
      <c r="B18" s="72" t="str">
        <f t="shared" si="4"/>
        <v>Get to know the team and understand the stakeholder's requirements</v>
      </c>
      <c r="C18" s="31"/>
      <c r="D18" s="31"/>
      <c r="E18" s="31"/>
      <c r="F18" s="31"/>
      <c r="G18" s="31"/>
    </row>
    <row r="19">
      <c r="A19" s="63"/>
      <c r="B19" s="73"/>
      <c r="C19" s="29" t="s">
        <v>190</v>
      </c>
      <c r="D19" s="29">
        <v>1.0</v>
      </c>
      <c r="E19" s="29"/>
      <c r="F19" s="29">
        <v>1.0</v>
      </c>
      <c r="G19" s="29"/>
    </row>
    <row r="20">
      <c r="A20" s="50"/>
      <c r="B20" s="51"/>
      <c r="C20" s="74" t="s">
        <v>191</v>
      </c>
      <c r="D20" s="75">
        <v>1.0</v>
      </c>
      <c r="E20" s="29"/>
      <c r="F20" s="75">
        <v>1.0</v>
      </c>
      <c r="G20" s="29"/>
    </row>
    <row r="21">
      <c r="A21" s="63"/>
      <c r="B21" s="73"/>
      <c r="C21" s="29" t="s">
        <v>192</v>
      </c>
      <c r="D21" s="75">
        <v>1.0</v>
      </c>
      <c r="E21" s="29"/>
      <c r="F21" s="75">
        <v>1.0</v>
      </c>
      <c r="G21" s="29"/>
    </row>
    <row r="22">
      <c r="A22" s="63"/>
      <c r="B22" s="73"/>
      <c r="C22" s="36"/>
      <c r="D22" s="36"/>
      <c r="E22" s="36"/>
      <c r="F22" s="36"/>
      <c r="G22" s="73"/>
    </row>
    <row r="23">
      <c r="A23" s="71">
        <f t="shared" ref="A23:B23" si="5">A10</f>
        <v>2</v>
      </c>
      <c r="B23" s="72" t="str">
        <f t="shared" si="5"/>
        <v>Start scaffolding basic backend and frontend infrastructure and research domain-specific knowledge</v>
      </c>
      <c r="C23" s="31"/>
      <c r="D23" s="31"/>
      <c r="E23" s="31"/>
      <c r="F23" s="31"/>
      <c r="G23" s="31"/>
    </row>
    <row r="24">
      <c r="A24" s="63"/>
      <c r="B24" s="73"/>
      <c r="C24" s="74" t="s">
        <v>193</v>
      </c>
      <c r="D24" s="75">
        <v>1.0</v>
      </c>
      <c r="E24" s="29"/>
      <c r="F24" s="75">
        <v>1.0</v>
      </c>
      <c r="G24" s="29"/>
    </row>
    <row r="25">
      <c r="A25" s="63"/>
      <c r="B25" s="73"/>
      <c r="C25" s="74" t="s">
        <v>194</v>
      </c>
      <c r="D25" s="75">
        <v>2.0</v>
      </c>
      <c r="E25" s="29"/>
      <c r="F25" s="75">
        <v>2.0</v>
      </c>
      <c r="G25" s="29"/>
    </row>
    <row r="26">
      <c r="A26" s="63"/>
      <c r="B26" s="73"/>
      <c r="C26" s="29" t="s">
        <v>195</v>
      </c>
      <c r="D26" s="75">
        <v>3.0</v>
      </c>
      <c r="E26" s="29"/>
      <c r="F26" s="75">
        <v>3.0</v>
      </c>
      <c r="G26" s="29"/>
    </row>
    <row r="27">
      <c r="A27" s="63"/>
      <c r="B27" s="73"/>
      <c r="C27" s="74" t="s">
        <v>196</v>
      </c>
      <c r="D27" s="75">
        <v>3.0</v>
      </c>
      <c r="E27" s="29"/>
      <c r="F27" s="75">
        <v>2.0</v>
      </c>
      <c r="G27" s="29"/>
    </row>
    <row r="28">
      <c r="A28" s="63"/>
      <c r="B28" s="73"/>
      <c r="C28" s="74" t="s">
        <v>197</v>
      </c>
      <c r="D28" s="75">
        <v>3.0</v>
      </c>
      <c r="E28" s="29"/>
      <c r="F28" s="75">
        <v>3.0</v>
      </c>
      <c r="G28" s="29"/>
    </row>
    <row r="29">
      <c r="A29" s="63"/>
      <c r="B29" s="73"/>
      <c r="C29" s="74" t="s">
        <v>198</v>
      </c>
      <c r="D29" s="75">
        <v>2.0</v>
      </c>
      <c r="E29" s="29"/>
      <c r="F29" s="75">
        <v>2.0</v>
      </c>
      <c r="G29" s="29"/>
    </row>
    <row r="30">
      <c r="A30" s="63"/>
      <c r="B30" s="73"/>
      <c r="C30" s="29" t="s">
        <v>199</v>
      </c>
      <c r="D30" s="75">
        <v>2.0</v>
      </c>
      <c r="E30" s="29"/>
      <c r="F30" s="75">
        <v>2.0</v>
      </c>
      <c r="G30" s="29"/>
    </row>
    <row r="31">
      <c r="A31" s="76"/>
      <c r="B31" s="77"/>
      <c r="C31" s="52"/>
      <c r="D31" s="52"/>
      <c r="E31" s="52"/>
      <c r="F31" s="52"/>
      <c r="G31" s="52"/>
    </row>
    <row r="32">
      <c r="A32" s="71">
        <f t="shared" ref="A32:B32" si="6">A11</f>
        <v>3</v>
      </c>
      <c r="B32" s="72" t="str">
        <f t="shared" si="6"/>
        <v>Set up unified development and production environment through containerization and tooling</v>
      </c>
      <c r="C32" s="31"/>
      <c r="D32" s="31"/>
      <c r="E32" s="31"/>
      <c r="F32" s="31"/>
      <c r="G32" s="31"/>
    </row>
    <row r="33">
      <c r="A33" s="63"/>
      <c r="B33" s="73"/>
      <c r="C33" s="29" t="s">
        <v>200</v>
      </c>
      <c r="D33" s="29">
        <v>2.0</v>
      </c>
      <c r="E33" s="29"/>
      <c r="F33" s="29">
        <v>3.0</v>
      </c>
      <c r="G33" s="29"/>
    </row>
    <row r="34">
      <c r="A34" s="63"/>
      <c r="B34" s="73"/>
      <c r="C34" s="29" t="s">
        <v>201</v>
      </c>
      <c r="D34" s="29">
        <v>2.0</v>
      </c>
      <c r="E34" s="29"/>
      <c r="F34" s="29">
        <v>2.0</v>
      </c>
      <c r="G34" s="29"/>
    </row>
    <row r="35">
      <c r="A35" s="63"/>
      <c r="B35" s="73"/>
      <c r="C35" s="29" t="s">
        <v>202</v>
      </c>
      <c r="D35" s="29">
        <v>2.0</v>
      </c>
      <c r="E35" s="29"/>
      <c r="F35" s="29">
        <v>2.0</v>
      </c>
      <c r="G35" s="29"/>
    </row>
    <row r="36">
      <c r="A36" s="63"/>
      <c r="B36" s="73"/>
      <c r="C36" s="29" t="s">
        <v>203</v>
      </c>
      <c r="D36" s="29">
        <v>1.0</v>
      </c>
      <c r="E36" s="29"/>
      <c r="F36" s="29">
        <v>1.0</v>
      </c>
      <c r="G36" s="29"/>
    </row>
    <row r="37">
      <c r="A37" s="63"/>
      <c r="B37" s="73"/>
      <c r="C37" s="74" t="s">
        <v>204</v>
      </c>
      <c r="D37" s="75">
        <v>2.0</v>
      </c>
      <c r="E37" s="29"/>
      <c r="F37" s="74">
        <v>2.0</v>
      </c>
      <c r="G37" s="29"/>
    </row>
    <row r="38">
      <c r="A38" s="63"/>
      <c r="B38" s="73"/>
      <c r="C38" s="74" t="s">
        <v>205</v>
      </c>
      <c r="D38" s="75">
        <v>2.0</v>
      </c>
      <c r="E38" s="29"/>
      <c r="F38" s="74">
        <v>3.0</v>
      </c>
      <c r="G38" s="29"/>
    </row>
    <row r="39">
      <c r="A39" s="63"/>
      <c r="B39" s="73"/>
      <c r="C39" s="74" t="s">
        <v>206</v>
      </c>
      <c r="D39" s="75">
        <v>1.0</v>
      </c>
      <c r="E39" s="29"/>
      <c r="F39" s="74">
        <v>1.0</v>
      </c>
      <c r="G39" s="29"/>
    </row>
    <row r="40">
      <c r="A40" s="63"/>
      <c r="B40" s="73"/>
      <c r="C40" s="74" t="s">
        <v>207</v>
      </c>
      <c r="D40" s="75">
        <v>1.0</v>
      </c>
      <c r="E40" s="29"/>
      <c r="F40" s="74">
        <v>2.0</v>
      </c>
      <c r="G40" s="29"/>
    </row>
    <row r="41">
      <c r="A41" s="63"/>
      <c r="B41" s="73"/>
      <c r="C41" s="74" t="s">
        <v>208</v>
      </c>
      <c r="D41" s="75">
        <v>3.0</v>
      </c>
      <c r="E41" s="29"/>
      <c r="F41" s="74">
        <v>8.0</v>
      </c>
      <c r="G41" s="29"/>
    </row>
    <row r="42">
      <c r="A42" s="63"/>
      <c r="B42" s="73"/>
      <c r="C42" s="73"/>
      <c r="D42" s="65"/>
      <c r="E42" s="73"/>
      <c r="F42" s="73"/>
      <c r="G42" s="73"/>
    </row>
    <row r="43">
      <c r="A43" s="78">
        <v>4.0</v>
      </c>
      <c r="B43" s="72" t="str">
        <f>B12</f>
        <v>Fix the issue of sensitive documents in the repository and enhance backend with endpoints and database connection</v>
      </c>
      <c r="C43" s="31"/>
      <c r="D43" s="58"/>
      <c r="E43" s="31"/>
      <c r="F43" s="31"/>
      <c r="G43" s="31"/>
    </row>
    <row r="44">
      <c r="A44" s="66"/>
      <c r="B44" s="73"/>
      <c r="C44" s="29" t="s">
        <v>209</v>
      </c>
      <c r="D44" s="75">
        <v>5.0</v>
      </c>
      <c r="E44" s="74"/>
      <c r="F44" s="74">
        <v>5.0</v>
      </c>
      <c r="G44" s="73"/>
    </row>
    <row r="45">
      <c r="A45" s="36"/>
      <c r="B45" s="36"/>
      <c r="C45" s="37" t="s">
        <v>210</v>
      </c>
      <c r="D45" s="75">
        <v>8.0</v>
      </c>
      <c r="E45" s="74"/>
      <c r="F45" s="74">
        <v>8.0</v>
      </c>
      <c r="G45" s="29"/>
    </row>
    <row r="46">
      <c r="A46" s="36"/>
      <c r="B46" s="36"/>
      <c r="C46" s="37" t="s">
        <v>211</v>
      </c>
      <c r="D46" s="75">
        <v>5.0</v>
      </c>
      <c r="E46" s="29"/>
      <c r="F46" s="29">
        <v>8.0</v>
      </c>
      <c r="G46" s="29"/>
    </row>
    <row r="47">
      <c r="A47" s="36"/>
      <c r="B47" s="36"/>
      <c r="C47" s="37" t="s">
        <v>212</v>
      </c>
      <c r="D47" s="75">
        <v>5.0</v>
      </c>
      <c r="E47" s="29"/>
      <c r="F47" s="29">
        <v>8.0</v>
      </c>
      <c r="G47" s="29"/>
    </row>
    <row r="48">
      <c r="A48" s="36"/>
      <c r="B48" s="36"/>
      <c r="C48" s="37" t="s">
        <v>213</v>
      </c>
      <c r="D48" s="29">
        <v>3.0</v>
      </c>
      <c r="E48" s="29"/>
      <c r="F48" s="29">
        <v>5.0</v>
      </c>
      <c r="G48" s="29"/>
    </row>
    <row r="49">
      <c r="A49" s="36"/>
      <c r="B49" s="36"/>
      <c r="C49" s="37" t="s">
        <v>214</v>
      </c>
      <c r="D49" s="29">
        <v>5.0</v>
      </c>
      <c r="E49" s="29"/>
      <c r="F49" s="29">
        <v>8.0</v>
      </c>
      <c r="G49" s="29"/>
    </row>
    <row r="50">
      <c r="A50" s="36"/>
      <c r="B50" s="36"/>
      <c r="C50" s="37" t="s">
        <v>215</v>
      </c>
      <c r="D50" s="29">
        <v>3.0</v>
      </c>
      <c r="E50" s="29"/>
      <c r="F50" s="29">
        <v>3.0</v>
      </c>
      <c r="G50" s="29"/>
    </row>
    <row r="51">
      <c r="A51" s="36"/>
      <c r="B51" s="36"/>
      <c r="C51" s="37" t="s">
        <v>216</v>
      </c>
      <c r="D51" s="29">
        <v>8.0</v>
      </c>
      <c r="E51" s="29"/>
      <c r="F51" s="29">
        <v>5.0</v>
      </c>
      <c r="G51" s="29"/>
    </row>
    <row r="52">
      <c r="A52" s="36"/>
      <c r="B52" s="36"/>
      <c r="C52" s="37" t="s">
        <v>217</v>
      </c>
      <c r="D52" s="29">
        <v>1.0</v>
      </c>
      <c r="E52" s="29"/>
      <c r="F52" s="29">
        <v>1.0</v>
      </c>
      <c r="G52" s="29"/>
    </row>
    <row r="53">
      <c r="A53" s="36"/>
      <c r="B53" s="36"/>
      <c r="C53" s="37"/>
      <c r="D53" s="52"/>
      <c r="E53" s="52"/>
      <c r="F53" s="52"/>
      <c r="G53" s="52"/>
    </row>
    <row r="54">
      <c r="A54" s="78">
        <v>5.0</v>
      </c>
      <c r="B54" s="72" t="str">
        <f>B13</f>
        <v>Extend and prepare components so they can be easily connected</v>
      </c>
      <c r="C54" s="31"/>
      <c r="D54" s="31"/>
      <c r="E54" s="31"/>
      <c r="F54" s="31"/>
      <c r="G54" s="31"/>
    </row>
    <row r="55">
      <c r="A55" s="66"/>
      <c r="B55" s="73"/>
      <c r="C55" s="79" t="s">
        <v>218</v>
      </c>
      <c r="D55" s="29">
        <v>2.0</v>
      </c>
      <c r="E55" s="52"/>
      <c r="F55" s="29">
        <v>5.0</v>
      </c>
      <c r="G55" s="52"/>
    </row>
    <row r="56">
      <c r="A56" s="36"/>
      <c r="B56" s="36"/>
      <c r="C56" s="29" t="s">
        <v>219</v>
      </c>
      <c r="D56" s="29">
        <v>5.0</v>
      </c>
      <c r="E56" s="52"/>
      <c r="F56" s="29">
        <v>5.0</v>
      </c>
      <c r="G56" s="52"/>
    </row>
    <row r="57">
      <c r="A57" s="63"/>
      <c r="B57" s="73"/>
      <c r="C57" s="29" t="s">
        <v>220</v>
      </c>
      <c r="D57" s="29">
        <v>5.0</v>
      </c>
      <c r="E57" s="52"/>
      <c r="F57" s="29">
        <v>5.0</v>
      </c>
      <c r="G57" s="52"/>
    </row>
    <row r="58">
      <c r="A58" s="63"/>
      <c r="B58" s="73"/>
      <c r="C58" s="29" t="s">
        <v>221</v>
      </c>
      <c r="D58" s="29">
        <v>3.0</v>
      </c>
      <c r="E58" s="52"/>
      <c r="F58" s="29">
        <v>3.0</v>
      </c>
      <c r="G58" s="52"/>
    </row>
    <row r="59">
      <c r="A59" s="63"/>
      <c r="B59" s="73"/>
      <c r="C59" s="36"/>
      <c r="D59" s="36"/>
      <c r="E59" s="36"/>
      <c r="F59" s="36"/>
      <c r="G59" s="52"/>
    </row>
    <row r="60">
      <c r="A60" s="78">
        <v>6.0</v>
      </c>
      <c r="B60" s="80" t="str">
        <f>B14</f>
        <v>Prepare mid-project release by binding frontend and backend together and finalizing container orchestration</v>
      </c>
      <c r="C60" s="81"/>
      <c r="D60" s="31"/>
      <c r="E60" s="31"/>
      <c r="F60" s="31"/>
      <c r="G60" s="31"/>
    </row>
    <row r="61">
      <c r="A61" s="63"/>
      <c r="B61" s="73"/>
      <c r="C61" s="29" t="s">
        <v>222</v>
      </c>
      <c r="D61" s="29">
        <v>3.0</v>
      </c>
      <c r="E61" s="52"/>
      <c r="F61" s="29">
        <v>3.0</v>
      </c>
      <c r="G61" s="52"/>
    </row>
    <row r="62">
      <c r="A62" s="63"/>
      <c r="B62" s="73"/>
      <c r="C62" s="29" t="s">
        <v>223</v>
      </c>
      <c r="D62" s="29">
        <v>3.0</v>
      </c>
      <c r="E62" s="52"/>
      <c r="F62" s="29">
        <v>3.0</v>
      </c>
      <c r="G62" s="52"/>
    </row>
    <row r="63">
      <c r="A63" s="63"/>
      <c r="B63" s="73"/>
      <c r="C63" s="29" t="s">
        <v>224</v>
      </c>
      <c r="D63" s="29">
        <v>5.0</v>
      </c>
      <c r="E63" s="52"/>
      <c r="F63" s="29">
        <v>5.0</v>
      </c>
      <c r="G63" s="52"/>
    </row>
    <row r="64">
      <c r="A64" s="63"/>
      <c r="B64" s="73"/>
      <c r="C64" s="29" t="s">
        <v>225</v>
      </c>
      <c r="D64" s="29">
        <v>8.0</v>
      </c>
      <c r="E64" s="52"/>
      <c r="F64" s="29">
        <v>8.0</v>
      </c>
      <c r="G64" s="52"/>
    </row>
    <row r="65">
      <c r="A65" s="63"/>
      <c r="B65" s="73"/>
      <c r="C65" s="29" t="s">
        <v>226</v>
      </c>
      <c r="D65" s="29">
        <v>8.0</v>
      </c>
      <c r="E65" s="52"/>
      <c r="F65" s="29">
        <v>8.0</v>
      </c>
      <c r="G65" s="52"/>
    </row>
    <row r="66">
      <c r="A66" s="63"/>
      <c r="B66" s="73"/>
      <c r="C66" s="29" t="s">
        <v>227</v>
      </c>
      <c r="D66" s="29">
        <v>5.0</v>
      </c>
      <c r="E66" s="52"/>
      <c r="F66" s="29">
        <v>13.0</v>
      </c>
      <c r="G66" s="52"/>
    </row>
    <row r="67">
      <c r="A67" s="63"/>
      <c r="B67" s="73"/>
      <c r="C67" s="36"/>
      <c r="D67" s="36"/>
      <c r="E67" s="36"/>
      <c r="F67" s="36"/>
      <c r="G67" s="5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SUM(D8:D16)</f>
        <v>190</v>
      </c>
      <c r="E5" s="58">
        <f>D5</f>
        <v>190</v>
      </c>
      <c r="F5" s="31">
        <f>SUM(F8:F16)</f>
        <v>0</v>
      </c>
      <c r="G5" s="31">
        <f>F5</f>
        <v>0</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6">
        <v>7.0</v>
      </c>
      <c r="B9" s="64" t="str">
        <f>'Sprint Goals'!B8</f>
        <v>Refactor and enhance frontend to improve application data flow</v>
      </c>
      <c r="C9" s="52"/>
      <c r="D9" s="65">
        <f>sum(D19:D36)</f>
        <v>56</v>
      </c>
      <c r="E9" s="65">
        <f>$D$5</f>
        <v>190</v>
      </c>
      <c r="F9" s="65">
        <f>sum(F19:F36)</f>
        <v>0</v>
      </c>
      <c r="G9" s="65">
        <f>$D$5</f>
        <v>190</v>
      </c>
    </row>
    <row r="10">
      <c r="A10" s="66">
        <v>8.0</v>
      </c>
      <c r="B10" s="64" t="str">
        <f>'Sprint Goals'!B9</f>
        <v>Initiate automatic Building detection and general code refactorings</v>
      </c>
      <c r="C10" s="52"/>
      <c r="D10" s="65">
        <f>sum(D38:D45)</f>
        <v>21</v>
      </c>
      <c r="E10" s="65">
        <f t="shared" ref="E10:E15" si="1">E9-D9</f>
        <v>134</v>
      </c>
      <c r="F10" s="65">
        <f>sum(F38:F45)</f>
        <v>0</v>
      </c>
      <c r="G10" s="65">
        <f t="shared" ref="G10:G15" si="2">G9-F9</f>
        <v>190</v>
      </c>
    </row>
    <row r="11">
      <c r="A11" s="66">
        <v>9.0</v>
      </c>
      <c r="B11" s="64" t="str">
        <f>'Sprint Goals'!B10</f>
        <v>Classify Document automatically into a Building Document Category</v>
      </c>
      <c r="C11" s="52"/>
      <c r="D11" s="65">
        <f>sum(D47:D57)</f>
        <v>34</v>
      </c>
      <c r="E11" s="65">
        <f t="shared" si="1"/>
        <v>113</v>
      </c>
      <c r="F11" s="65">
        <f>sum(F47:F57)</f>
        <v>0</v>
      </c>
      <c r="G11" s="65">
        <f t="shared" si="2"/>
        <v>190</v>
      </c>
    </row>
    <row r="12">
      <c r="A12" s="66">
        <v>10.0</v>
      </c>
      <c r="B12" s="64" t="str">
        <f>'Sprint Goals'!B11</f>
        <v>Enhance frontend based on workshop and Collect list of relevant information per document category</v>
      </c>
      <c r="C12" s="52"/>
      <c r="D12" s="52">
        <f>SUM(D59:D68)</f>
        <v>26</v>
      </c>
      <c r="E12" s="65">
        <f t="shared" si="1"/>
        <v>79</v>
      </c>
      <c r="F12" s="52">
        <f>SUM(F59:F68)</f>
        <v>0</v>
      </c>
      <c r="G12" s="65">
        <f t="shared" si="2"/>
        <v>190</v>
      </c>
    </row>
    <row r="13">
      <c r="A13" s="66">
        <v>11.0</v>
      </c>
      <c r="B13" s="64" t="str">
        <f>'Sprint Goals'!B12</f>
        <v>Auto-Extract and display information from Document based on Document Category</v>
      </c>
      <c r="C13" s="52"/>
      <c r="D13" s="52">
        <f>SUM(D69:D73)</f>
        <v>15</v>
      </c>
      <c r="E13" s="65">
        <f t="shared" si="1"/>
        <v>53</v>
      </c>
      <c r="F13" s="52">
        <f>SUM(F69:F73)</f>
        <v>0</v>
      </c>
      <c r="G13" s="65">
        <f t="shared" si="2"/>
        <v>190</v>
      </c>
    </row>
    <row r="14">
      <c r="A14" s="66">
        <v>12.0</v>
      </c>
      <c r="B14" s="64" t="str">
        <f>'Sprint Goals'!B13</f>
        <v>AI chatbot can answer questions based on database information</v>
      </c>
      <c r="C14" s="52"/>
      <c r="D14" s="52">
        <f>SUM(D76:D82)</f>
        <v>23</v>
      </c>
      <c r="E14" s="65">
        <f t="shared" si="1"/>
        <v>38</v>
      </c>
      <c r="F14" s="52">
        <f>SUM(F76:F82)</f>
        <v>0</v>
      </c>
      <c r="G14" s="65">
        <f t="shared" si="2"/>
        <v>190</v>
      </c>
    </row>
    <row r="15">
      <c r="A15" s="66">
        <v>13.0</v>
      </c>
      <c r="B15" s="64" t="str">
        <f>'Sprint Goals'!B14</f>
        <v>Prepare Demo Day and Project Hand-Over</v>
      </c>
      <c r="C15" s="52"/>
      <c r="D15" s="52">
        <f>SUM(D83:D90)</f>
        <v>15</v>
      </c>
      <c r="E15" s="65">
        <f t="shared" si="1"/>
        <v>15</v>
      </c>
      <c r="F15" s="52">
        <f>SUM(F83:F90)</f>
        <v>0</v>
      </c>
      <c r="G15" s="65">
        <f t="shared" si="2"/>
        <v>190</v>
      </c>
    </row>
    <row r="16">
      <c r="A16" s="63"/>
      <c r="B16" s="67"/>
      <c r="C16" s="52"/>
      <c r="D16" s="52"/>
      <c r="E16" s="52"/>
      <c r="F16" s="52"/>
      <c r="G16" s="52"/>
    </row>
    <row r="17">
      <c r="A17" s="68" t="s">
        <v>189</v>
      </c>
      <c r="B17" s="69"/>
      <c r="C17" s="70"/>
      <c r="D17" s="70"/>
      <c r="E17" s="70"/>
      <c r="F17" s="70"/>
      <c r="G17" s="70"/>
    </row>
    <row r="18">
      <c r="A18" s="63"/>
      <c r="B18" s="67"/>
      <c r="C18" s="52"/>
      <c r="D18" s="52"/>
      <c r="E18" s="52"/>
      <c r="F18" s="52"/>
      <c r="G18" s="52"/>
    </row>
    <row r="19">
      <c r="A19" s="71">
        <f t="shared" ref="A19:B19" si="3">A9</f>
        <v>7</v>
      </c>
      <c r="B19" s="72" t="str">
        <f t="shared" si="3"/>
        <v>Refactor and enhance frontend to improve application data flow</v>
      </c>
      <c r="C19" s="31"/>
      <c r="D19" s="31"/>
      <c r="E19" s="31"/>
      <c r="F19" s="31"/>
      <c r="G19" s="31"/>
    </row>
    <row r="20">
      <c r="A20" s="63"/>
      <c r="C20" s="29" t="s">
        <v>228</v>
      </c>
      <c r="D20" s="29">
        <v>3.0</v>
      </c>
      <c r="E20" s="29"/>
      <c r="F20" s="29"/>
      <c r="G20" s="29"/>
    </row>
    <row r="21">
      <c r="A21" s="50"/>
      <c r="B21" s="36"/>
      <c r="C21" s="82" t="s">
        <v>229</v>
      </c>
      <c r="D21" s="29">
        <v>1.0</v>
      </c>
      <c r="E21" s="29"/>
      <c r="F21" s="75"/>
      <c r="G21" s="29"/>
    </row>
    <row r="22">
      <c r="A22" s="63"/>
      <c r="C22" s="29" t="s">
        <v>230</v>
      </c>
      <c r="D22" s="29">
        <v>2.0</v>
      </c>
      <c r="E22" s="29"/>
      <c r="F22" s="75"/>
      <c r="G22" s="29"/>
    </row>
    <row r="23">
      <c r="A23" s="63"/>
      <c r="B23" s="73"/>
      <c r="C23" s="29" t="s">
        <v>231</v>
      </c>
      <c r="D23" s="29">
        <v>8.0</v>
      </c>
      <c r="E23" s="52"/>
      <c r="F23" s="52"/>
      <c r="G23" s="73"/>
    </row>
    <row r="24">
      <c r="A24" s="63"/>
      <c r="B24" s="73"/>
      <c r="C24" s="29" t="s">
        <v>232</v>
      </c>
      <c r="D24" s="29">
        <v>3.0</v>
      </c>
      <c r="E24" s="52"/>
      <c r="F24" s="52"/>
      <c r="G24" s="73"/>
    </row>
    <row r="25">
      <c r="A25" s="63"/>
      <c r="B25" s="73"/>
      <c r="C25" s="29" t="s">
        <v>233</v>
      </c>
      <c r="D25" s="29">
        <v>3.0</v>
      </c>
      <c r="E25" s="52"/>
      <c r="F25" s="52"/>
      <c r="G25" s="73"/>
    </row>
    <row r="26">
      <c r="A26" s="63"/>
      <c r="B26" s="73"/>
      <c r="C26" s="29" t="s">
        <v>234</v>
      </c>
      <c r="D26" s="29">
        <v>2.0</v>
      </c>
      <c r="E26" s="52"/>
      <c r="F26" s="52"/>
      <c r="G26" s="73"/>
    </row>
    <row r="27">
      <c r="A27" s="63"/>
      <c r="B27" s="73"/>
      <c r="C27" s="29" t="s">
        <v>235</v>
      </c>
      <c r="D27" s="29">
        <v>3.0</v>
      </c>
      <c r="E27" s="52"/>
      <c r="F27" s="52"/>
      <c r="G27" s="73"/>
    </row>
    <row r="28">
      <c r="A28" s="63"/>
      <c r="B28" s="73"/>
      <c r="C28" s="29" t="s">
        <v>236</v>
      </c>
      <c r="D28" s="29">
        <v>5.0</v>
      </c>
      <c r="E28" s="52"/>
      <c r="F28" s="52"/>
      <c r="G28" s="73"/>
    </row>
    <row r="29">
      <c r="A29" s="63"/>
      <c r="B29" s="73"/>
      <c r="C29" s="29" t="s">
        <v>237</v>
      </c>
      <c r="D29" s="29">
        <v>3.0</v>
      </c>
      <c r="E29" s="52"/>
      <c r="F29" s="52"/>
      <c r="G29" s="73"/>
    </row>
    <row r="30">
      <c r="A30" s="63"/>
      <c r="B30" s="73"/>
      <c r="C30" s="29" t="s">
        <v>238</v>
      </c>
      <c r="D30" s="29">
        <v>5.0</v>
      </c>
      <c r="E30" s="52"/>
      <c r="F30" s="52"/>
      <c r="G30" s="73"/>
    </row>
    <row r="31">
      <c r="A31" s="63"/>
      <c r="B31" s="73"/>
      <c r="C31" s="29" t="s">
        <v>239</v>
      </c>
      <c r="D31" s="29">
        <v>2.0</v>
      </c>
      <c r="E31" s="52"/>
      <c r="F31" s="52"/>
      <c r="G31" s="73"/>
    </row>
    <row r="32">
      <c r="A32" s="63"/>
      <c r="B32" s="73"/>
      <c r="C32" s="29" t="s">
        <v>240</v>
      </c>
      <c r="D32" s="29">
        <v>5.0</v>
      </c>
      <c r="E32" s="52"/>
      <c r="F32" s="52"/>
      <c r="G32" s="73"/>
    </row>
    <row r="33">
      <c r="A33" s="63"/>
      <c r="B33" s="73"/>
      <c r="C33" s="29" t="s">
        <v>241</v>
      </c>
      <c r="D33" s="29">
        <v>3.0</v>
      </c>
      <c r="E33" s="52"/>
      <c r="F33" s="52"/>
      <c r="G33" s="73"/>
    </row>
    <row r="34">
      <c r="A34" s="63"/>
      <c r="B34" s="73"/>
      <c r="C34" s="29" t="s">
        <v>242</v>
      </c>
      <c r="D34" s="29">
        <v>3.0</v>
      </c>
      <c r="E34" s="52"/>
      <c r="F34" s="52"/>
      <c r="G34" s="73"/>
    </row>
    <row r="35">
      <c r="A35" s="63"/>
      <c r="B35" s="73"/>
      <c r="C35" s="29" t="s">
        <v>243</v>
      </c>
      <c r="D35" s="29">
        <v>2.0</v>
      </c>
      <c r="E35" s="52"/>
      <c r="F35" s="52"/>
      <c r="G35" s="73"/>
    </row>
    <row r="36">
      <c r="A36" s="63"/>
      <c r="B36" s="73"/>
      <c r="C36" s="29" t="s">
        <v>244</v>
      </c>
      <c r="D36" s="29">
        <v>3.0</v>
      </c>
      <c r="E36" s="52"/>
      <c r="F36" s="52"/>
      <c r="G36" s="73"/>
    </row>
    <row r="37">
      <c r="A37" s="83"/>
      <c r="B37" s="77"/>
      <c r="C37" s="52"/>
      <c r="D37" s="52"/>
      <c r="E37" s="52"/>
      <c r="F37" s="52"/>
      <c r="G37" s="52"/>
    </row>
    <row r="38">
      <c r="A38" s="71">
        <f t="shared" ref="A38:B38" si="4">A10</f>
        <v>8</v>
      </c>
      <c r="B38" s="72" t="str">
        <f t="shared" si="4"/>
        <v>Initiate automatic Building detection and general code refactorings</v>
      </c>
      <c r="C38" s="31"/>
      <c r="D38" s="31"/>
      <c r="E38" s="31"/>
      <c r="F38" s="31"/>
      <c r="G38" s="31"/>
    </row>
    <row r="39">
      <c r="A39" s="63"/>
      <c r="B39" s="73"/>
      <c r="C39" s="74" t="s">
        <v>245</v>
      </c>
      <c r="D39" s="75">
        <v>3.0</v>
      </c>
      <c r="E39" s="29"/>
      <c r="F39" s="75"/>
      <c r="G39" s="29"/>
    </row>
    <row r="40">
      <c r="A40" s="63"/>
      <c r="B40" s="73"/>
      <c r="C40" s="74" t="s">
        <v>246</v>
      </c>
      <c r="D40" s="75">
        <v>2.0</v>
      </c>
      <c r="E40" s="29"/>
      <c r="F40" s="75"/>
      <c r="G40" s="29"/>
    </row>
    <row r="41">
      <c r="A41" s="63"/>
      <c r="B41" s="73"/>
      <c r="C41" s="29" t="s">
        <v>247</v>
      </c>
      <c r="D41" s="75">
        <v>5.0</v>
      </c>
      <c r="E41" s="29"/>
      <c r="F41" s="75"/>
      <c r="G41" s="29"/>
    </row>
    <row r="42">
      <c r="A42" s="63"/>
      <c r="B42" s="73"/>
      <c r="C42" s="74" t="s">
        <v>248</v>
      </c>
      <c r="D42" s="75">
        <v>5.0</v>
      </c>
      <c r="E42" s="29"/>
      <c r="F42" s="75"/>
      <c r="G42" s="29"/>
    </row>
    <row r="43">
      <c r="A43" s="63"/>
      <c r="B43" s="73"/>
      <c r="C43" s="74" t="s">
        <v>249</v>
      </c>
      <c r="D43" s="75">
        <v>2.0</v>
      </c>
      <c r="E43" s="29"/>
      <c r="F43" s="75"/>
      <c r="G43" s="29"/>
    </row>
    <row r="44">
      <c r="A44" s="63"/>
      <c r="B44" s="73"/>
      <c r="C44" s="74" t="s">
        <v>250</v>
      </c>
      <c r="D44" s="75">
        <v>1.0</v>
      </c>
      <c r="E44" s="29"/>
      <c r="F44" s="75"/>
      <c r="G44" s="29"/>
    </row>
    <row r="45">
      <c r="A45" s="63"/>
      <c r="B45" s="73"/>
      <c r="C45" s="29" t="s">
        <v>251</v>
      </c>
      <c r="D45" s="75">
        <v>3.0</v>
      </c>
      <c r="E45" s="29"/>
      <c r="F45" s="75"/>
      <c r="G45" s="29"/>
    </row>
    <row r="46">
      <c r="A46" s="76"/>
      <c r="B46" s="77"/>
      <c r="C46" s="52"/>
      <c r="D46" s="52"/>
      <c r="E46" s="52"/>
      <c r="F46" s="52"/>
      <c r="G46" s="52"/>
    </row>
    <row r="47">
      <c r="A47" s="71">
        <f t="shared" ref="A47:B47" si="5">A11</f>
        <v>9</v>
      </c>
      <c r="B47" s="72" t="str">
        <f t="shared" si="5"/>
        <v>Classify Document automatically into a Building Document Category</v>
      </c>
      <c r="C47" s="31"/>
      <c r="D47" s="31"/>
      <c r="E47" s="31"/>
      <c r="F47" s="31"/>
      <c r="G47" s="31"/>
    </row>
    <row r="48">
      <c r="A48" s="63"/>
      <c r="B48" s="73"/>
      <c r="C48" s="29" t="s">
        <v>252</v>
      </c>
      <c r="D48" s="29">
        <v>3.0</v>
      </c>
      <c r="E48" s="29"/>
      <c r="F48" s="29"/>
      <c r="G48" s="29"/>
    </row>
    <row r="49">
      <c r="A49" s="63"/>
      <c r="B49" s="73"/>
      <c r="C49" s="29" t="s">
        <v>253</v>
      </c>
      <c r="D49" s="29">
        <v>8.0</v>
      </c>
      <c r="E49" s="29"/>
      <c r="F49" s="29"/>
      <c r="G49" s="29"/>
    </row>
    <row r="50">
      <c r="A50" s="63"/>
      <c r="B50" s="73"/>
      <c r="C50" s="29" t="s">
        <v>254</v>
      </c>
      <c r="D50" s="29">
        <v>5.0</v>
      </c>
      <c r="E50" s="29"/>
      <c r="F50" s="29"/>
      <c r="G50" s="29"/>
    </row>
    <row r="51">
      <c r="A51" s="63"/>
      <c r="B51" s="73"/>
      <c r="C51" s="29" t="s">
        <v>255</v>
      </c>
      <c r="D51" s="29">
        <v>3.0</v>
      </c>
      <c r="E51" s="29"/>
      <c r="F51" s="29"/>
      <c r="G51" s="29"/>
    </row>
    <row r="52">
      <c r="A52" s="63"/>
      <c r="B52" s="73"/>
      <c r="C52" s="74" t="s">
        <v>256</v>
      </c>
      <c r="D52" s="75">
        <v>2.0</v>
      </c>
      <c r="E52" s="29"/>
      <c r="F52" s="74"/>
      <c r="G52" s="29"/>
    </row>
    <row r="53">
      <c r="A53" s="63"/>
      <c r="B53" s="73"/>
      <c r="C53" s="29" t="s">
        <v>257</v>
      </c>
      <c r="D53" s="75">
        <v>8.0</v>
      </c>
      <c r="E53" s="29"/>
      <c r="F53" s="74"/>
      <c r="G53" s="29"/>
    </row>
    <row r="54">
      <c r="A54" s="63"/>
      <c r="B54" s="73"/>
      <c r="C54" s="74" t="s">
        <v>258</v>
      </c>
      <c r="D54" s="75">
        <v>5.0</v>
      </c>
      <c r="E54" s="29"/>
      <c r="F54" s="74"/>
      <c r="G54" s="29"/>
    </row>
    <row r="55">
      <c r="A55" s="63"/>
      <c r="B55" s="73"/>
      <c r="C55" s="36"/>
      <c r="D55" s="75"/>
      <c r="E55" s="29"/>
      <c r="F55" s="74"/>
      <c r="G55" s="29"/>
    </row>
    <row r="56">
      <c r="A56" s="63"/>
      <c r="B56" s="73"/>
      <c r="C56" s="74"/>
      <c r="D56" s="75"/>
      <c r="E56" s="29"/>
      <c r="F56" s="74"/>
      <c r="G56" s="29"/>
    </row>
    <row r="57">
      <c r="A57" s="63"/>
      <c r="B57" s="73"/>
      <c r="C57" s="73"/>
      <c r="D57" s="65"/>
      <c r="E57" s="73"/>
      <c r="F57" s="73"/>
      <c r="G57" s="73"/>
    </row>
    <row r="58">
      <c r="A58" s="78">
        <f t="shared" ref="A58:B58" si="6">A12</f>
        <v>10</v>
      </c>
      <c r="B58" s="72" t="str">
        <f t="shared" si="6"/>
        <v>Enhance frontend based on workshop and Collect list of relevant information per document category</v>
      </c>
      <c r="C58" s="81"/>
      <c r="D58" s="58"/>
      <c r="E58" s="31"/>
      <c r="F58" s="31"/>
      <c r="G58" s="31"/>
    </row>
    <row r="59">
      <c r="A59" s="66"/>
      <c r="B59" s="73"/>
      <c r="C59" s="37" t="s">
        <v>259</v>
      </c>
      <c r="D59" s="75">
        <v>5.0</v>
      </c>
      <c r="E59" s="74"/>
      <c r="F59" s="74"/>
      <c r="G59" s="73"/>
    </row>
    <row r="60">
      <c r="A60" s="36"/>
      <c r="B60" s="36"/>
      <c r="C60" s="37" t="s">
        <v>260</v>
      </c>
      <c r="D60" s="75">
        <v>5.0</v>
      </c>
      <c r="E60" s="74"/>
      <c r="F60" s="74"/>
      <c r="G60" s="29"/>
    </row>
    <row r="61">
      <c r="A61" s="36"/>
      <c r="B61" s="36"/>
      <c r="C61" s="37" t="s">
        <v>261</v>
      </c>
      <c r="D61" s="75">
        <v>3.0</v>
      </c>
      <c r="E61" s="29"/>
      <c r="F61" s="29"/>
      <c r="G61" s="29"/>
    </row>
    <row r="62">
      <c r="A62" s="36"/>
      <c r="B62" s="36"/>
      <c r="C62" s="37" t="s">
        <v>262</v>
      </c>
      <c r="D62" s="75">
        <v>5.0</v>
      </c>
      <c r="E62" s="29"/>
      <c r="F62" s="29"/>
      <c r="G62" s="29"/>
    </row>
    <row r="63">
      <c r="A63" s="36"/>
      <c r="B63" s="36"/>
      <c r="C63" s="37" t="s">
        <v>263</v>
      </c>
      <c r="D63" s="29">
        <v>8.0</v>
      </c>
      <c r="E63" s="29"/>
      <c r="F63" s="29"/>
      <c r="G63" s="29"/>
    </row>
    <row r="64">
      <c r="A64" s="36"/>
      <c r="B64" s="36"/>
      <c r="D64" s="29"/>
      <c r="E64" s="29"/>
      <c r="F64" s="29"/>
      <c r="G64" s="29"/>
    </row>
    <row r="65">
      <c r="A65" s="36"/>
      <c r="B65" s="36"/>
      <c r="C65" s="37"/>
      <c r="D65" s="29"/>
      <c r="E65" s="29"/>
      <c r="F65" s="29"/>
      <c r="G65" s="29"/>
    </row>
    <row r="66">
      <c r="A66" s="36"/>
      <c r="B66" s="36"/>
      <c r="C66" s="37"/>
      <c r="D66" s="29"/>
      <c r="E66" s="29"/>
      <c r="F66" s="29"/>
      <c r="G66" s="29"/>
    </row>
    <row r="67">
      <c r="A67" s="36"/>
      <c r="B67" s="36"/>
      <c r="C67" s="37"/>
      <c r="D67" s="29"/>
      <c r="E67" s="29"/>
      <c r="F67" s="29"/>
      <c r="G67" s="29"/>
    </row>
    <row r="68">
      <c r="A68" s="36"/>
      <c r="B68" s="36"/>
      <c r="C68" s="37"/>
      <c r="D68" s="52"/>
      <c r="E68" s="52"/>
      <c r="F68" s="52"/>
      <c r="G68" s="52"/>
    </row>
    <row r="69">
      <c r="A69" s="78">
        <f t="shared" ref="A69:B69" si="7">A13</f>
        <v>11</v>
      </c>
      <c r="B69" s="72" t="str">
        <f t="shared" si="7"/>
        <v>Auto-Extract and display information from Document based on Document Category</v>
      </c>
      <c r="C69" s="31"/>
      <c r="D69" s="31"/>
      <c r="E69" s="31"/>
      <c r="F69" s="31"/>
      <c r="G69" s="31"/>
    </row>
    <row r="70">
      <c r="A70" s="66"/>
      <c r="B70" s="73"/>
      <c r="C70" s="79" t="s">
        <v>264</v>
      </c>
      <c r="D70" s="29">
        <v>5.0</v>
      </c>
      <c r="E70" s="52"/>
      <c r="F70" s="29"/>
      <c r="G70" s="52"/>
    </row>
    <row r="71">
      <c r="A71" s="36"/>
      <c r="B71" s="36"/>
      <c r="C71" s="29" t="s">
        <v>265</v>
      </c>
      <c r="D71" s="29">
        <v>5.0</v>
      </c>
      <c r="E71" s="52"/>
      <c r="F71" s="29"/>
      <c r="G71" s="52"/>
    </row>
    <row r="72">
      <c r="A72" s="63"/>
      <c r="B72" s="73"/>
      <c r="C72" s="29" t="s">
        <v>266</v>
      </c>
      <c r="D72" s="29">
        <v>5.0</v>
      </c>
      <c r="E72" s="52"/>
      <c r="F72" s="29"/>
      <c r="G72" s="52"/>
    </row>
    <row r="73">
      <c r="A73" s="63"/>
      <c r="B73" s="73"/>
      <c r="C73" s="29"/>
      <c r="D73" s="29"/>
      <c r="E73" s="52"/>
      <c r="F73" s="29"/>
      <c r="G73" s="52"/>
    </row>
    <row r="74">
      <c r="A74" s="63"/>
      <c r="B74" s="73"/>
      <c r="C74" s="36"/>
      <c r="D74" s="36"/>
      <c r="E74" s="36"/>
      <c r="F74" s="36"/>
      <c r="G74" s="52"/>
    </row>
    <row r="75">
      <c r="A75" s="78">
        <f t="shared" ref="A75:B75" si="8">A14</f>
        <v>12</v>
      </c>
      <c r="B75" s="80" t="str">
        <f t="shared" si="8"/>
        <v>AI chatbot can answer questions based on database information</v>
      </c>
      <c r="C75" s="81"/>
      <c r="D75" s="31"/>
      <c r="E75" s="31"/>
      <c r="F75" s="31"/>
      <c r="G75" s="31"/>
    </row>
    <row r="76">
      <c r="A76" s="63"/>
      <c r="B76" s="73"/>
      <c r="C76" s="74" t="s">
        <v>267</v>
      </c>
      <c r="D76" s="29">
        <v>3.0</v>
      </c>
      <c r="E76" s="52"/>
      <c r="F76" s="52"/>
      <c r="G76" s="52"/>
    </row>
    <row r="77">
      <c r="A77" s="63"/>
      <c r="B77" s="73"/>
      <c r="C77" s="29" t="s">
        <v>268</v>
      </c>
      <c r="D77" s="29">
        <v>2.0</v>
      </c>
      <c r="E77" s="52"/>
      <c r="F77" s="29"/>
      <c r="G77" s="52"/>
    </row>
    <row r="78">
      <c r="A78" s="63"/>
      <c r="B78" s="73"/>
      <c r="C78" s="29" t="s">
        <v>269</v>
      </c>
      <c r="D78" s="29">
        <v>8.0</v>
      </c>
      <c r="E78" s="52"/>
      <c r="F78" s="29"/>
      <c r="G78" s="52"/>
    </row>
    <row r="79">
      <c r="A79" s="63"/>
      <c r="B79" s="73"/>
      <c r="C79" s="29" t="s">
        <v>270</v>
      </c>
      <c r="D79" s="29">
        <v>5.0</v>
      </c>
      <c r="E79" s="52"/>
      <c r="F79" s="52"/>
      <c r="G79" s="52"/>
    </row>
    <row r="80">
      <c r="A80" s="63"/>
      <c r="B80" s="73"/>
      <c r="C80" s="9" t="s">
        <v>271</v>
      </c>
      <c r="D80" s="29">
        <v>5.0</v>
      </c>
      <c r="E80" s="52"/>
      <c r="F80" s="52"/>
      <c r="G80" s="52"/>
    </row>
    <row r="81">
      <c r="A81" s="84" t="str">
        <f>A20</f>
        <v/>
      </c>
      <c r="B81" s="73"/>
      <c r="C81" s="29"/>
      <c r="D81" s="29"/>
      <c r="E81" s="52"/>
      <c r="F81" s="52"/>
      <c r="G81" s="52"/>
    </row>
    <row r="82">
      <c r="A82" s="63"/>
      <c r="B82" s="73"/>
      <c r="C82" s="29"/>
      <c r="D82" s="29"/>
      <c r="E82" s="52"/>
      <c r="F82" s="29"/>
      <c r="G82" s="52"/>
    </row>
    <row r="83" ht="14.25" customHeight="1">
      <c r="A83" s="78">
        <f t="shared" ref="A83:B83" si="9">A15</f>
        <v>13</v>
      </c>
      <c r="B83" s="78" t="str">
        <f t="shared" si="9"/>
        <v>Prepare Demo Day and Project Hand-Over</v>
      </c>
      <c r="C83" s="81"/>
      <c r="D83" s="81"/>
      <c r="E83" s="31"/>
      <c r="F83" s="81"/>
      <c r="G83" s="31"/>
    </row>
    <row r="84">
      <c r="A84" s="63"/>
      <c r="B84" s="73"/>
      <c r="C84" s="29" t="s">
        <v>272</v>
      </c>
      <c r="D84" s="29">
        <v>5.0</v>
      </c>
      <c r="E84" s="52"/>
      <c r="F84" s="29"/>
      <c r="G84" s="52"/>
    </row>
    <row r="85">
      <c r="A85" s="63"/>
      <c r="B85" s="73"/>
      <c r="C85" s="29" t="s">
        <v>273</v>
      </c>
      <c r="D85" s="29">
        <v>5.0</v>
      </c>
      <c r="E85" s="52"/>
      <c r="F85" s="29"/>
      <c r="G85" s="52"/>
    </row>
    <row r="86">
      <c r="A86" s="63"/>
      <c r="B86" s="73"/>
      <c r="C86" s="29" t="s">
        <v>274</v>
      </c>
      <c r="D86" s="29">
        <v>3.0</v>
      </c>
      <c r="E86" s="52"/>
      <c r="F86" s="52"/>
      <c r="G86" s="52"/>
    </row>
    <row r="87">
      <c r="A87" s="63"/>
      <c r="B87" s="73"/>
      <c r="C87" s="29" t="s">
        <v>275</v>
      </c>
      <c r="D87" s="29">
        <v>2.0</v>
      </c>
      <c r="E87" s="52"/>
      <c r="F87" s="52"/>
      <c r="G87" s="5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5" t="s">
        <v>65</v>
      </c>
      <c r="B1" s="47" t="s">
        <v>276</v>
      </c>
      <c r="C1" s="47" t="s">
        <v>277</v>
      </c>
      <c r="D1" s="86" t="s">
        <v>278</v>
      </c>
    </row>
    <row r="2">
      <c r="A2" s="5">
        <v>1.0</v>
      </c>
      <c r="B2" s="5" t="s">
        <v>279</v>
      </c>
      <c r="C2" s="5" t="s">
        <v>280</v>
      </c>
      <c r="D2" s="9" t="s">
        <v>281</v>
      </c>
    </row>
    <row r="3">
      <c r="A3" s="5">
        <v>2.0</v>
      </c>
      <c r="B3" s="9" t="s">
        <v>282</v>
      </c>
      <c r="C3" s="5" t="s">
        <v>283</v>
      </c>
      <c r="D3" s="9" t="s">
        <v>284</v>
      </c>
    </row>
    <row r="4">
      <c r="A4" s="5">
        <v>3.0</v>
      </c>
      <c r="B4" s="5" t="s">
        <v>285</v>
      </c>
      <c r="C4" s="9" t="s">
        <v>286</v>
      </c>
      <c r="D4" s="9" t="s">
        <v>287</v>
      </c>
    </row>
    <row r="5">
      <c r="A5" s="5">
        <v>4.0</v>
      </c>
      <c r="B5" s="5" t="s">
        <v>288</v>
      </c>
      <c r="C5" s="5" t="s">
        <v>289</v>
      </c>
      <c r="D5" s="2"/>
    </row>
    <row r="6">
      <c r="A6" s="5">
        <v>5.0</v>
      </c>
      <c r="C6" s="5" t="s">
        <v>290</v>
      </c>
      <c r="D6" s="2"/>
    </row>
    <row r="7">
      <c r="A7" s="5">
        <v>6.0</v>
      </c>
      <c r="C7" s="5" t="s">
        <v>291</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292</v>
      </c>
      <c r="B1" s="3" t="s">
        <v>293</v>
      </c>
    </row>
    <row r="2">
      <c r="A2" s="5" t="s">
        <v>294</v>
      </c>
      <c r="B2" s="6" t="s">
        <v>295</v>
      </c>
    </row>
    <row r="3">
      <c r="A3" s="5" t="s">
        <v>296</v>
      </c>
      <c r="B3" s="6" t="s">
        <v>297</v>
      </c>
    </row>
    <row r="4">
      <c r="A4" s="5" t="s">
        <v>298</v>
      </c>
      <c r="B4" s="6" t="s">
        <v>299</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87" t="s">
        <v>65</v>
      </c>
      <c r="B1" s="88" t="s">
        <v>300</v>
      </c>
      <c r="C1" s="88" t="s">
        <v>301</v>
      </c>
      <c r="D1" s="89" t="s">
        <v>302</v>
      </c>
      <c r="E1" s="89" t="s">
        <v>303</v>
      </c>
      <c r="F1" s="88" t="s">
        <v>72</v>
      </c>
    </row>
    <row r="2">
      <c r="A2" s="90">
        <v>1.0</v>
      </c>
      <c r="B2" s="90" t="s">
        <v>304</v>
      </c>
      <c r="C2" s="90" t="s">
        <v>305</v>
      </c>
      <c r="D2" s="91">
        <v>19.0</v>
      </c>
      <c r="E2" s="91" t="s">
        <v>306</v>
      </c>
      <c r="F2" s="90" t="s">
        <v>307</v>
      </c>
    </row>
    <row r="3">
      <c r="A3" s="90">
        <v>2.0</v>
      </c>
      <c r="B3" s="90" t="s">
        <v>304</v>
      </c>
      <c r="C3" s="90" t="s">
        <v>308</v>
      </c>
      <c r="D3" s="91" t="s">
        <v>309</v>
      </c>
      <c r="E3" s="91" t="s">
        <v>310</v>
      </c>
      <c r="F3" s="90" t="s">
        <v>311</v>
      </c>
    </row>
    <row r="4">
      <c r="A4" s="90">
        <v>3.0</v>
      </c>
      <c r="B4" s="90" t="s">
        <v>304</v>
      </c>
      <c r="C4" s="90" t="s">
        <v>312</v>
      </c>
      <c r="D4" s="91" t="s">
        <v>313</v>
      </c>
      <c r="E4" s="91" t="s">
        <v>314</v>
      </c>
      <c r="F4" s="90" t="s">
        <v>315</v>
      </c>
    </row>
    <row r="5">
      <c r="A5" s="90">
        <v>4.0</v>
      </c>
      <c r="B5" s="90" t="s">
        <v>316</v>
      </c>
      <c r="C5" s="90" t="s">
        <v>317</v>
      </c>
      <c r="D5" s="91" t="s">
        <v>318</v>
      </c>
      <c r="E5" s="91" t="s">
        <v>306</v>
      </c>
      <c r="F5" s="9" t="s">
        <v>319</v>
      </c>
    </row>
    <row r="6">
      <c r="A6" s="90">
        <v>5.0</v>
      </c>
      <c r="B6" s="90" t="s">
        <v>316</v>
      </c>
      <c r="C6" s="90" t="s">
        <v>320</v>
      </c>
      <c r="D6" s="91" t="s">
        <v>318</v>
      </c>
      <c r="E6" s="91" t="s">
        <v>306</v>
      </c>
      <c r="F6" s="90" t="s">
        <v>321</v>
      </c>
    </row>
    <row r="7">
      <c r="A7" s="90">
        <v>6.0</v>
      </c>
      <c r="B7" s="90" t="s">
        <v>322</v>
      </c>
      <c r="C7" s="9" t="s">
        <v>323</v>
      </c>
      <c r="D7" s="91" t="s">
        <v>324</v>
      </c>
      <c r="E7" s="91" t="s">
        <v>306</v>
      </c>
      <c r="F7" s="9" t="s">
        <v>325</v>
      </c>
    </row>
    <row r="8">
      <c r="A8" s="90">
        <v>7.0</v>
      </c>
      <c r="B8" s="90" t="s">
        <v>322</v>
      </c>
      <c r="C8" s="9" t="s">
        <v>326</v>
      </c>
      <c r="D8" s="91" t="s">
        <v>327</v>
      </c>
      <c r="E8" s="91" t="s">
        <v>328</v>
      </c>
      <c r="F8" s="9" t="s">
        <v>329</v>
      </c>
    </row>
    <row r="9">
      <c r="A9" s="90">
        <v>8.0</v>
      </c>
      <c r="B9" s="90" t="s">
        <v>316</v>
      </c>
      <c r="C9" s="90" t="s">
        <v>330</v>
      </c>
      <c r="D9" s="91" t="s">
        <v>331</v>
      </c>
      <c r="E9" s="91" t="s">
        <v>328</v>
      </c>
      <c r="F9" s="9" t="s">
        <v>332</v>
      </c>
    </row>
    <row r="10">
      <c r="A10" s="92"/>
      <c r="B10" s="92"/>
      <c r="C10" s="92"/>
      <c r="D10" s="93"/>
      <c r="E10" s="93"/>
      <c r="F10" s="92"/>
    </row>
    <row r="11">
      <c r="A11" s="92"/>
      <c r="B11" s="92"/>
      <c r="C11" s="92"/>
      <c r="D11" s="93"/>
      <c r="E11" s="93"/>
      <c r="F11" s="92"/>
    </row>
    <row r="12">
      <c r="A12" s="92"/>
      <c r="B12" s="92"/>
      <c r="C12" s="92"/>
      <c r="D12" s="93"/>
      <c r="E12" s="93"/>
      <c r="F12" s="92"/>
    </row>
    <row r="13">
      <c r="A13" s="92"/>
      <c r="B13" s="92"/>
      <c r="C13" s="92"/>
      <c r="D13" s="93"/>
      <c r="E13" s="93"/>
      <c r="F13" s="92"/>
    </row>
    <row r="14">
      <c r="A14" s="92"/>
      <c r="B14" s="92"/>
      <c r="C14" s="92"/>
      <c r="D14" s="93"/>
      <c r="E14" s="93"/>
      <c r="F14" s="92"/>
    </row>
    <row r="15">
      <c r="A15" s="92"/>
      <c r="B15" s="92"/>
      <c r="C15" s="92"/>
      <c r="D15" s="93"/>
      <c r="E15" s="93"/>
      <c r="F15" s="92"/>
    </row>
    <row r="16">
      <c r="A16" s="92"/>
      <c r="B16" s="92"/>
      <c r="C16" s="92"/>
      <c r="D16" s="93"/>
      <c r="E16" s="93"/>
      <c r="F16" s="92"/>
    </row>
    <row r="17">
      <c r="A17" s="92"/>
      <c r="B17" s="92"/>
      <c r="C17" s="92"/>
      <c r="D17" s="93"/>
      <c r="E17" s="93"/>
      <c r="F17" s="92"/>
    </row>
    <row r="18">
      <c r="A18" s="92"/>
      <c r="B18" s="92"/>
      <c r="C18" s="92"/>
      <c r="D18" s="93"/>
      <c r="E18" s="93"/>
      <c r="F18" s="92"/>
    </row>
    <row r="19">
      <c r="A19" s="92"/>
      <c r="B19" s="92"/>
      <c r="C19" s="92"/>
      <c r="D19" s="93"/>
      <c r="E19" s="93"/>
      <c r="F19" s="92"/>
    </row>
    <row r="20">
      <c r="A20" s="92"/>
      <c r="B20" s="92"/>
      <c r="C20" s="92"/>
      <c r="D20" s="93"/>
      <c r="E20" s="93"/>
      <c r="F20" s="92"/>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4" t="str">
        <f>'Project Team'!A1</f>
        <v>Last Name</v>
      </c>
      <c r="B1" s="94" t="str">
        <f>'Project Team'!B1</f>
        <v>First Name</v>
      </c>
      <c r="C1" s="95" t="s">
        <v>333</v>
      </c>
      <c r="D1" s="96"/>
      <c r="E1" s="97"/>
      <c r="F1" s="98"/>
      <c r="G1" s="99"/>
      <c r="H1" s="99"/>
    </row>
    <row r="2">
      <c r="A2" s="100" t="str">
        <f>'Project Team'!A5</f>
        <v>Halder</v>
      </c>
      <c r="B2" s="100" t="str">
        <f>'Project Team'!B5</f>
        <v>Arpita</v>
      </c>
      <c r="C2" s="101">
        <v>1.0</v>
      </c>
      <c r="D2" s="102"/>
      <c r="E2" s="103">
        <f>average(C2:C10)</f>
        <v>1</v>
      </c>
      <c r="F2" s="104" t="str">
        <f>if(stdev(C2:C7) &gt; 0,"NOK", "OK")</f>
        <v>OK</v>
      </c>
      <c r="G2" s="105"/>
      <c r="H2" s="105"/>
    </row>
    <row r="3">
      <c r="A3" s="106" t="str">
        <f>'Project Team'!A6</f>
        <v>Kazi</v>
      </c>
      <c r="B3" s="106" t="str">
        <f>'Project Team'!B6</f>
        <v>Masudur Rahaman</v>
      </c>
      <c r="C3" s="101">
        <v>1.0</v>
      </c>
      <c r="D3" s="107"/>
      <c r="G3" s="108"/>
      <c r="H3" s="108"/>
    </row>
    <row r="4">
      <c r="A4" s="106" t="str">
        <f>'Project Team'!A8</f>
        <v>Ouabo</v>
      </c>
      <c r="B4" s="106" t="str">
        <f>'Project Team'!B8</f>
        <v>Samuel</v>
      </c>
      <c r="C4" s="101">
        <v>1.0</v>
      </c>
      <c r="D4" s="102"/>
      <c r="G4" s="105"/>
      <c r="H4" s="105"/>
    </row>
    <row r="5">
      <c r="A5" s="100" t="str">
        <f>'Project Team'!A9</f>
        <v>Billah</v>
      </c>
      <c r="B5" s="100" t="str">
        <f>'Project Team'!B9</f>
        <v>Masum</v>
      </c>
      <c r="C5" s="101">
        <v>1.0</v>
      </c>
      <c r="D5" s="109"/>
      <c r="E5" s="109"/>
      <c r="F5" s="109"/>
      <c r="G5" s="108"/>
      <c r="H5" s="108"/>
    </row>
    <row r="6">
      <c r="A6" s="106" t="str">
        <f>'Project Team'!A10</f>
        <v>Hussain</v>
      </c>
      <c r="B6" s="106" t="str">
        <f>'Project Team'!B10</f>
        <v>Syed Affan</v>
      </c>
      <c r="C6" s="101">
        <v>1.0</v>
      </c>
      <c r="D6" s="110"/>
      <c r="E6" s="111">
        <v>0.0</v>
      </c>
      <c r="F6" s="112" t="s">
        <v>334</v>
      </c>
      <c r="G6" s="105"/>
      <c r="H6" s="105"/>
    </row>
    <row r="7">
      <c r="A7" s="100" t="str">
        <f>'Project Team'!A11</f>
        <v>Djamen</v>
      </c>
      <c r="B7" s="100" t="str">
        <f>'Project Team'!B11</f>
        <v>Bastiane</v>
      </c>
      <c r="C7" s="101">
        <v>1.0</v>
      </c>
      <c r="D7" s="109"/>
      <c r="E7" s="111">
        <v>1.0</v>
      </c>
      <c r="F7" s="112" t="s">
        <v>335</v>
      </c>
      <c r="G7" s="108"/>
      <c r="H7" s="108"/>
    </row>
    <row r="8">
      <c r="C8" s="113"/>
      <c r="D8" s="110"/>
      <c r="E8" s="111">
        <v>2.0</v>
      </c>
      <c r="F8" s="112" t="s">
        <v>336</v>
      </c>
      <c r="G8" s="105"/>
      <c r="H8" s="105"/>
    </row>
    <row r="9">
      <c r="A9" s="106" t="str">
        <f>'Project Team'!A12</f>
        <v/>
      </c>
      <c r="B9" s="106" t="str">
        <f>'Project Team'!B12</f>
        <v/>
      </c>
      <c r="C9" s="113"/>
      <c r="D9" s="109"/>
      <c r="E9" s="111">
        <v>3.0</v>
      </c>
      <c r="F9" s="112" t="s">
        <v>337</v>
      </c>
      <c r="G9" s="108"/>
      <c r="H9" s="108"/>
    </row>
    <row r="10">
      <c r="A10" s="100" t="str">
        <f>'Project Team'!A13</f>
        <v/>
      </c>
      <c r="B10" s="100" t="str">
        <f>'Project Team'!B13</f>
        <v/>
      </c>
      <c r="C10" s="113"/>
      <c r="D10" s="110"/>
      <c r="E10" s="111">
        <v>5.0</v>
      </c>
      <c r="F10" s="112" t="s">
        <v>338</v>
      </c>
      <c r="G10" s="105"/>
      <c r="H10" s="105"/>
    </row>
    <row r="11">
      <c r="A11" s="106"/>
      <c r="B11" s="106"/>
      <c r="C11" s="114"/>
      <c r="D11" s="109"/>
      <c r="E11" s="111">
        <v>8.0</v>
      </c>
      <c r="F11" s="112" t="s">
        <v>339</v>
      </c>
      <c r="G11" s="108"/>
      <c r="H11" s="108"/>
    </row>
    <row r="12">
      <c r="A12" s="100"/>
      <c r="B12" s="100"/>
      <c r="C12" s="114"/>
      <c r="D12" s="110"/>
      <c r="E12" s="111">
        <v>13.0</v>
      </c>
      <c r="F12" s="112" t="s">
        <v>340</v>
      </c>
      <c r="G12" s="105"/>
      <c r="H12" s="105"/>
    </row>
    <row r="13">
      <c r="A13" s="106"/>
      <c r="B13" s="106"/>
      <c r="C13" s="109"/>
      <c r="D13" s="109"/>
      <c r="E13" s="109"/>
      <c r="F13" s="109"/>
      <c r="G13" s="108"/>
      <c r="H13" s="108"/>
    </row>
    <row r="14">
      <c r="A14" s="115" t="s">
        <v>341</v>
      </c>
      <c r="B14" s="116"/>
      <c r="C14" s="116"/>
      <c r="D14" s="116"/>
      <c r="E14" s="116"/>
      <c r="F14" s="116"/>
      <c r="G14" s="116"/>
      <c r="H14" s="116"/>
    </row>
    <row r="15">
      <c r="A15" s="117"/>
      <c r="B15" s="117"/>
      <c r="C15" s="117"/>
      <c r="D15" s="117"/>
      <c r="E15" s="117"/>
      <c r="F15" s="117"/>
      <c r="G15" s="117"/>
      <c r="H15" s="117"/>
    </row>
    <row r="16">
      <c r="A16" s="118" t="s">
        <v>342</v>
      </c>
      <c r="B16" s="119"/>
      <c r="C16" s="119"/>
      <c r="D16" s="119"/>
      <c r="E16" s="119"/>
      <c r="F16" s="119"/>
      <c r="G16" s="119"/>
      <c r="H16" s="119"/>
    </row>
    <row r="17">
      <c r="A17" s="120" t="s">
        <v>343</v>
      </c>
      <c r="B17" s="117"/>
      <c r="C17" s="117"/>
      <c r="D17" s="117"/>
      <c r="E17" s="117"/>
      <c r="F17" s="117"/>
      <c r="G17" s="117"/>
      <c r="H17" s="117"/>
    </row>
    <row r="18">
      <c r="A18" s="118" t="s">
        <v>344</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